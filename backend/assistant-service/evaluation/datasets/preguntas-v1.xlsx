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strucciones" sheetId="1" state="visible" r:id="rId3"/>
    <sheet name="Preguntas" sheetId="2" state="visible" r:id="rId4"/>
    <sheet name="Cobertura" sheetId="3" state="visible" r:id="rId5"/>
    <sheet name="Documentos" sheetId="4" state="visible" r:id="rId6"/>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2" authorId="0">
      <text>
        <r>
          <rPr>
            <sz val="10"/>
            <rFont val="Arial"/>
            <family val="2"/>
          </rPr>
          <t xml:space="preserve">Fila de ejemplo: muestra el formato esperado. No se evalúa. Los datos (página y respuesta) son ilustrativos.</t>
        </r>
      </text>
    </comment>
  </commentList>
</comments>
</file>

<file path=xl/sharedStrings.xml><?xml version="1.0" encoding="utf-8"?>
<sst xmlns="http://schemas.openxmlformats.org/spreadsheetml/2006/main" count="286" uniqueCount="155">
  <si>
    <t xml:space="preserve">Preguntas de evaluación del Asistente Avalanz</t>
  </si>
  <si>
    <t xml:space="preserve">Para qué sirve</t>
  </si>
  <si>
    <t xml:space="preserve">Con estas preguntas se mide qué modelo de búsqueda encuentra mejor la respuesta en los documentos reales. Son el estándar con el que se compara cada cambio del asistente.</t>
  </si>
  <si>
    <t xml:space="preserve">Qué llenar</t>
  </si>
  <si>
    <t xml:space="preserve">Solo las celdas amarillas de la hoja Preguntas (filas P01 a P25). La fila gris EJEMPLO muestra el formato y no se evalúa.</t>
  </si>
  <si>
    <t xml:space="preserve">Pregunta</t>
  </si>
  <si>
    <t xml:space="preserve">Escríbela como la haría un usuario, con sus propias palabras. No copies el título del manual: el asistente debe entender '¿cómo le doy de baja a una máquina?' aunque el manual diga 'baja de activo'.</t>
  </si>
  <si>
    <t xml:space="preserve">Tipo</t>
  </si>
  <si>
    <t xml:space="preserve">proceso (¿cómo hago...?), ubicacion (¿dónde está...?), concepto (¿qué es...?), comparacion (¿qué cambia entre...?), sin_respuesta (la respuesta no está en ningún documento).</t>
  </si>
  <si>
    <t xml:space="preserve">Tema y Documento</t>
  </si>
  <si>
    <t xml:space="preserve">Elige de las listas desplegables. Para preguntas sin respuesta usa 'ninguno' en ambos.</t>
  </si>
  <si>
    <t xml:space="preserve">Ubicación</t>
  </si>
  <si>
    <t xml:space="preserve">PDF: número de página. Word: nombre de la sección. PowerPoint: número de diapositiva. Sesión grabada: minuto aproximado (mm:ss o h:mm:ss). La hoja Documentos indica el formato de cada archivo.</t>
  </si>
  <si>
    <t xml:space="preserve">Respuesta esperada</t>
  </si>
  <si>
    <t xml:space="preserve">Uno o dos renglones con lo esencial. Sirve más adelante para medir si la respuesta del asistente es correcta.</t>
  </si>
  <si>
    <t xml:space="preserve">Cobertura</t>
  </si>
  <si>
    <t xml:space="preserve">La hoja Cobertura cuenta solas las preguntas por tema y tipo, y muestra cuántas faltan respecto a lo sugerido (25 en total, incluidas 4 sin respuesta).</t>
  </si>
  <si>
    <t xml:space="preserve">Importante</t>
  </si>
  <si>
    <t xml:space="preserve">No incluyas datos personales ni información confidencial en las preguntas: este archivo formará parte del repositorio del proyecto.</t>
  </si>
  <si>
    <t xml:space="preserve">ID</t>
  </si>
  <si>
    <t xml:space="preserve">Pregunta (como la haría un usuario)</t>
  </si>
  <si>
    <t xml:space="preserve">Tema</t>
  </si>
  <si>
    <t xml:space="preserve">Documento</t>
  </si>
  <si>
    <t xml:space="preserve">Respuesta esperada (breve)</t>
  </si>
  <si>
    <t xml:space="preserve">EJEMPLO</t>
  </si>
  <si>
    <t xml:space="preserve">¿Cómo le doy de baja a una máquina que ya no usamos?</t>
  </si>
  <si>
    <t xml:space="preserve">proceso</t>
  </si>
  <si>
    <t xml:space="preserve">activo-fijo</t>
  </si>
  <si>
    <t xml:space="preserve">manual-autocapacitacion-activo-fijo-v2.pdf</t>
  </si>
  <si>
    <t xml:space="preserve">12</t>
  </si>
  <si>
    <t xml:space="preserve">Se registra la baja del activo indicando motivo y fecha; el sistema calcula la depreciación pendiente.</t>
  </si>
  <si>
    <t xml:space="preserve">P01</t>
  </si>
  <si>
    <t xml:space="preserve">¿Cómo puedo dar de alta un activo fijjo?</t>
  </si>
  <si>
    <t xml:space="preserve">Un activo fijo puede generarse a partir de distintos documentos de compra. En la sesión se ingresó directamente una 
factura, pero el mismo dato puede jalarse desde:
• Un pedido de compra.
• Una orden de compra.
• Una remisión (que además impacta inventarios</t>
  </si>
  <si>
    <t xml:space="preserve">P02</t>
  </si>
  <si>
    <t xml:space="preserve">¿Dónde puedo clasificar un activo fijo?</t>
  </si>
  <si>
    <t xml:space="preserve">ubicacion</t>
  </si>
  <si>
    <t xml:space="preserve">Menú lateral izquierdo → Actualizaciones → Clasificación de compras. Esta pantalla muestra tanto los activos ya 
clasificados como los pendientes por clasificar, identificables por su fecha de adquisición</t>
  </si>
  <si>
    <t xml:space="preserve">P03</t>
  </si>
  <si>
    <t xml:space="preserve">Estoy tratando de calcular la depreciacion mensual pero me marca un error de algo de moneda, que puede estar pasando?</t>
  </si>
  <si>
    <t xml:space="preserve">Los tipos de cambio de todas las monedas deben estar capturados día a día, sin huecos, desde el primer hasta el último día del periodo a calcular. El sistema no permite ejecutar el proceso si detecta días faltantes</t>
  </si>
  <si>
    <t xml:space="preserve">P04</t>
  </si>
  <si>
    <t xml:space="preserve">Estaba tratando de calcular la depreciacion mensual y me marco un error de moneda, tu me dijiste que los tipos de cambio de todas las monedas deben de estar capturadas al dia, sin huecos, en que ruta agrego las monedas?</t>
  </si>
  <si>
    <t xml:space="preserve">financiero</t>
  </si>
  <si>
    <t xml:space="preserve">manual-autocapacitacion-financiero-v2.pdf</t>
  </si>
  <si>
    <t xml:space="preserve">El catálogo de monedas registra el tipo de cambio diario. Al iniciar sesión, el sistema solicita informar el tipo de cambio 
del día, normalmente a un usuario responsable de Tesorería o Contabilidad. Ya hablaste con el encargado de contabilidad para que te apoye a dar de alta la moneda?</t>
  </si>
  <si>
    <t xml:space="preserve">P05</t>
  </si>
  <si>
    <t xml:space="preserve">Donde pudo ver los saldos bancarios ?</t>
  </si>
  <si>
    <t xml:space="preserve">7.1 Saldos bancarios
Financiero → Actualizaciones → Movimientos Bancarios → Saldos bancarios muestra</t>
  </si>
  <si>
    <t xml:space="preserve">P06</t>
  </si>
  <si>
    <t xml:space="preserve">Porque no puedo anular un recibo de pago?</t>
  </si>
  <si>
    <t xml:space="preserve">En que rura estas tratando de elimnarlo ? Tu recibo esta timbrado no o ?  Un recibo NO timbrado puede eliminarse directamente (Otras acciones → Borrar). Esto revierte la aplicación del 
cobro y regresa el saldo al título original.
• Un recibo YA timbrado no puede eliminarse; debe usarse la opción Anular, que solicita el motivo de cancelación del 
complemento de pago ante el SAT.</t>
  </si>
  <si>
    <t xml:space="preserve">P07</t>
  </si>
  <si>
    <t xml:space="preserve">Donde puedo revisar un proyecto?</t>
  </si>
  <si>
    <t xml:space="preserve">proyectos</t>
  </si>
  <si>
    <t xml:space="preserve">manual-autocapacitacion-proyectos-v2.pdf</t>
  </si>
  <si>
    <t xml:space="preserve">1. Ve a Consultas › Consulta › Panel de proyectos.
2. Abre el Proyecto Uno (al final de la lista); es el que tiene gastos e ingresos de prueba.
3. Presiona Financiero y revisa: costo, margen, valor total y resultado. Los botones de exportar funcionan igual que en 
V10.</t>
  </si>
  <si>
    <t xml:space="preserve">P08</t>
  </si>
  <si>
    <t xml:space="preserve">Oye, ya creé mi proyecto y todo, pero ahora no sé cómo asociarle los gastos. Si hago una orden de compra, ¿cómo le hago para que se vincule a ese proyecto? Antes, en la versión vieja, se hacía desde 'Vínculos', pero me dijeron que ahora hay una forma más rápida.</t>
  </si>
  <si>
    <t xml:space="preserve">La forma nueva (V25) es asociar desde el origen. Genera y graba el documento (ej. orden de compra), y en el listado del documento ve a Otras acciones › Asociar, elige el proyecto y la tarea. La opción antigua (desde Vínculos) sigue disponible</t>
  </si>
  <si>
    <t xml:space="preserve">P09</t>
  </si>
  <si>
    <t xml:space="preserve">¿Dónde puedo ver el resumen financiero completo de un proyecto, con ingresos, costos, márgenes, lo que se ha pagado y lo que se ha cobrado?</t>
  </si>
  <si>
    <t xml:space="preserve">En Consultas › Consulta › Panel de proyectos. Selecciona el proyecto y presiona el botón Financiero para ver el resumen calculado en tiempo real.</t>
  </si>
  <si>
    <t xml:space="preserve">P10</t>
  </si>
  <si>
    <t xml:space="preserve">Oye, tengo que dar de alta a un empleado nuevo en nómina. Sé que tengo que poner su nombre y RFC, pero no sé en qué parte exactamente del sistema se hace, ni qué otros datos me pide. ¿Y cómo sé si ya se creó bien? Me dijeron que revise algo de la 'trayectoria laboral', pero no sé ni dónde está eso.</t>
  </si>
  <si>
    <t xml:space="preserve">nomina</t>
  </si>
  <si>
    <t xml:space="preserve">manual-autocapacitacion-nomina-v2.pdf</t>
  </si>
  <si>
    <t xml:space="preserve">Ve a Actualizaciones › Empleados › Empleados. Presiona Incluir y captura los datos. Al grabar, el sistema genera automáticamente un registro en 'Trayectoria laboral' y en 'Control de días derecho' (vacaciones). Verifica que estos registros se hayan creado.</t>
  </si>
  <si>
    <t xml:space="preserve">P11</t>
  </si>
  <si>
    <t xml:space="preserve">¿Dónde puedo ver el historial completo de un crédito Infonavit de un empleado, con todos los cambios que ha tenido (inicio, suspensión, modificación de valor)?</t>
  </si>
  <si>
    <t xml:space="preserve">En Actualizaciones › Empleados › Créditos Infonavit. Esta rutina nueva en V25 conserva el historial completo de movimientos del crédito, de forma independiente al maestro del empleado</t>
  </si>
  <si>
    <t xml:space="preserve">P12</t>
  </si>
  <si>
    <t xml:space="preserve">¿Qué es un 'mnemónico' y para qué sirve? Un compañero me dijo que son variables que se usan en las fórmulas de cálculo de nómina, pero no entiendo bien cómo funcionan ni dónde se ven.</t>
  </si>
  <si>
    <t xml:space="preserve">concepto</t>
  </si>
  <si>
    <t xml:space="preserve">Los mnemónicos son variables que usa el sistema en las fórmulas de cálculo (ej. AFPPECFIN para 'Asiento Fijo Fecha Final'). Se consultan en Definición de Cálculo › Mnemónicos. No es programación, son sentencias lógicas que definen cómo se calcula cada concepto.</t>
  </si>
  <si>
    <t xml:space="preserve">P13</t>
  </si>
  <si>
    <t xml:space="preserve">¿Qué cambia en la forma de generar los CFDI de nómina entre la versión anterior (V10) y la nueva (V25)? Antes el PAC armaba todo el XML y el PDF, pero me dijeron que ahora es diferente.</t>
  </si>
  <si>
    <t xml:space="preserve">comparacion</t>
  </si>
  <si>
    <t xml:space="preserve">En V10, el PAC armaba el XML y el PDF. En V25, el propio ERP (TOTVS) genera el XML y la representación gráfica (PDF), y el PAC solo se conserva para el timbrado final ante el SAT. Esto implica que la calidad de los datos de origen es responsabilidad directa del usuario</t>
  </si>
  <si>
    <t xml:space="preserve">P14</t>
  </si>
  <si>
    <t xml:space="preserve">¿Cómo puedo calcular el finiquito de un empleado que renunció y que tiene un préstamo de Fonacot activo con saldo pendiente? ¿El sistema considera automáticamente ese saldo o lo tengo que calcular yo por separado?</t>
  </si>
  <si>
    <t xml:space="preserve">sin_respuesta</t>
  </si>
  <si>
    <t xml:space="preserve">N/A</t>
  </si>
  <si>
    <t xml:space="preserve">No se encontró información específica en el manual sobre el tratamiento de saldos de préstamos Fonacot activos al momento de calcular un finiquito, Deseas que cree un tiquet para que un equipo funcional te contacte?</t>
  </si>
  <si>
    <t xml:space="preserve">P15</t>
  </si>
  <si>
    <t xml:space="preserve">¿Cómo registro un lead en Odoo y qué pasa si no tengo el RFC del cliente? Me da miedo que el sistema me bloquee o no me deje avanzar.</t>
  </si>
  <si>
    <t xml:space="preserve">crm-odoo-dyce</t>
  </si>
  <si>
    <t xml:space="preserve">manual-autocapacitacion-crm-odoo-dyce-v1.docx</t>
  </si>
  <si>
    <t xml:space="preserve">5.1 Concepto de contacto y lead en Odoo</t>
  </si>
  <si>
    <t xml:space="preserve">Ve a CRM › Leads › Nuevo. Captura nombre, venta esperada y contacto. Puedes guardar el lead sin RFC; el sistema solo te lo exigirá al convertir la oportunidad a pedido de venta.</t>
  </si>
  <si>
    <t xml:space="preserve">P16</t>
  </si>
  <si>
    <t xml:space="preserve">Tengo una oportunidad en el CRM que ya está lista para cerrar. ¿Cómo le hago para confirmar el pedido de venta y qué documentos me va a pedir el sistema antes de dejarme?</t>
  </si>
  <si>
    <t xml:space="preserve">5.7 Confirmación del pedido de venta</t>
  </si>
  <si>
    <t xml:space="preserve">Antes de confirmar, el sistema exige: forma de pago, política de pago, uso de CFDI, términos de pago y adjuntar evidencia de la orden de compra del cliente. También es indispensable que el cliente ya esté dado de alta en TOTVS.</t>
  </si>
  <si>
    <t xml:space="preserve">P17</t>
  </si>
  <si>
    <t xml:space="preserve">Ya timbré una factura, pero me di cuenta de que tiene un error en el RFC del cliente. ¿Cómo la cancelo? ¿Qué pasa si ya la había contabilizado?</t>
  </si>
  <si>
    <t xml:space="preserve">ventas-facturacion</t>
  </si>
  <si>
    <t xml:space="preserve">manual-autocapacitacion-ventas-facturacion-v1.docx</t>
  </si>
  <si>
    <t xml:space="preserve">8.4 Cancelación de CFDI</t>
  </si>
  <si>
    <t xml:space="preserve">Ve a Facturación › Cancelación CFDI. Primero "Actualizar estatus" y luego elige el motivo (01, 02 o 03). Si ya estaba contabilizada, el sistema genera el asiento de reversión automáticamente.</t>
  </si>
  <si>
    <t xml:space="preserve">P18</t>
  </si>
  <si>
    <t xml:space="preserve">¿Dónde puedo ver un reporte de todas las ventas del mes pasado, pero que me deje filtrar por vendedor y ver el estado de entrega y de facturación al mismo tiempo?</t>
  </si>
  <si>
    <t xml:space="preserve">5.11 Reportes y filtros</t>
  </si>
  <si>
    <t xml:space="preserve">Desde Ventas › Órdenes › Órdenes. Usa "Filtrar" para vendedor, rango de fechas, estado de entrega y estado de factura. Puedes agrupar por vendedor y exportar a Excel con "Acciones › Exportar".</t>
  </si>
  <si>
    <t xml:space="preserve">P19</t>
  </si>
  <si>
    <t xml:space="preserve">Un cliente me pidió una factura pero no tengo una remisión ni un pedido de venta. ¿Puedo generar una factura manual? ¿Y cómo le hago si necesito que salga de una remisión específica?</t>
  </si>
  <si>
    <t xml:space="preserve">8.1 Generación de factura</t>
  </si>
  <si>
    <t xml:space="preserve">Sí, se puede generar una factura manual desde Facturación › Generar notas › Factura manual. También puedes generarla desde una o varias remisiones usando el origen "Remisión" y el parámetro "Agrupa por cliente"</t>
  </si>
  <si>
    <t xml:space="preserve">P20</t>
  </si>
  <si>
    <t xml:space="preserve">¿Qué pasa si un técnico intenta ver los tickets de otro sistema o de otra empresa? ¿El sistema se lo permite o está restringido?</t>
  </si>
  <si>
    <t xml:space="preserve">roles</t>
  </si>
  <si>
    <t xml:space="preserve">arquitectura-roles-it-service-desk.pptx</t>
  </si>
  <si>
    <t xml:space="preserve">No se lo permite. El rol "Técnico" solo puede ver los tickets asignados a él y los que él mismo levante. No puede ver tickets de otros sistemas, personas o empresas</t>
  </si>
  <si>
    <t xml:space="preserve">P21</t>
  </si>
  <si>
    <t xml:space="preserve">Si un empleado se va de la empresa, ¿basta con desactivar su cuenta en el sistema o hay que hacer algo más para que ya no reciba tickets ni aparezca en los buscadores?</t>
  </si>
  <si>
    <t xml:space="preserve">No basta con desactivar. Dar de baja implica que el usuario ya no trabaja en el grupo: no aparece en los buscadores ni recibe tickets. Estar "bloqueado" es diferente; sigue siendo empleado y sigue recibiendo tickets, solo no puede entrar.</t>
  </si>
  <si>
    <t xml:space="preserve">P22</t>
  </si>
  <si>
    <t xml:space="preserve">¿Cómo puedo usar la IA de Claude para que me ayude a revisar qué contratos vencen en los próximos 90 días y cuáles necesitan renovación urgente?</t>
  </si>
  <si>
    <t xml:space="preserve">ninguno</t>
  </si>
  <si>
    <t xml:space="preserve">No se encontró información específica en los manuales de capacitación sobre el uso de Claude para consultas de vencimiento de contratos. ¿Deseas que cree un ticket para que un equipo funcional te contacte y te explique cómo aprovechar esta herramienta?</t>
  </si>
  <si>
    <t xml:space="preserve">P23</t>
  </si>
  <si>
    <t xml:space="preserve">¿Dónde puedo ver un dashboard que me muestre cuántos contratos se revisaron, cuántos escritos se presentaron y cuál es el cumplimiento del equipo jurídico en la semana?</t>
  </si>
  <si>
    <t xml:space="preserve">No se encontró información específica en los manuales de capacitación sobre el KPI Dashboard jurídico. ¿Deseas que cree un ticket para que un equipo funcional te contacte y te muestre cómo acceder a este reporte?</t>
  </si>
  <si>
    <t xml:space="preserve">P24</t>
  </si>
  <si>
    <t xml:space="preserve">¿Cómo funciona el sistema de alertas para los vencimientos de pólizas, marcas y contratos? ¿Me avisa por correo o tengo que entrar al portal a revisar?</t>
  </si>
  <si>
    <t xml:space="preserve">No se encontró información específica en los manuales de capacitación sobre el sistema de alertas de vencimientos jurídicos. ¿Deseas que cree un ticket para que un equipo funcional te contacte y te explique el funcionamiento de las alertas?</t>
  </si>
  <si>
    <t xml:space="preserve">P25</t>
  </si>
  <si>
    <t xml:space="preserve">¿Claude puede ayudarme a generar un contrato de NDA para una unidad de negocio específica? ¿Qué datos necesita y cómo se genera?</t>
  </si>
  <si>
    <t xml:space="preserve">No se encontró información específica en los manuales de capacitación sobre el generador de contratos con Claude. ¿Deseas que cree un ticket para que un equipo funcional te contacte y te guíe en el uso de esta herramienta?</t>
  </si>
  <si>
    <t xml:space="preserve">Cobertura de las preguntas</t>
  </si>
  <si>
    <t xml:space="preserve">Sugeridas</t>
  </si>
  <si>
    <t xml:space="preserve">Escritas</t>
  </si>
  <si>
    <t xml:space="preserve">Faltan</t>
  </si>
  <si>
    <t xml:space="preserve">Nota: 'ninguno' son preguntas cuya respuesta NO está en los documentos; sirven para probar que el asistente sepa decir que no sabe.</t>
  </si>
  <si>
    <t xml:space="preserve">Total</t>
  </si>
  <si>
    <t xml:space="preserve">Archivo</t>
  </si>
  <si>
    <t xml:space="preserve">Formato</t>
  </si>
  <si>
    <t xml:space="preserve">Cómo indicar la ubicación</t>
  </si>
  <si>
    <t xml:space="preserve">Temas</t>
  </si>
  <si>
    <t xml:space="preserve">Tipos</t>
  </si>
  <si>
    <t xml:space="preserve">PDF</t>
  </si>
  <si>
    <t xml:space="preserve">Número de página</t>
  </si>
  <si>
    <t xml:space="preserve">capacitacion-2026-09-07.transcripcion.docx</t>
  </si>
  <si>
    <t xml:space="preserve">Sesión grabada</t>
  </si>
  <si>
    <t xml:space="preserve">Minuto aproximado (mm:ss o h:mm:ss)</t>
  </si>
  <si>
    <t xml:space="preserve">capacitacion-2026-09-08.transcripcion.docx</t>
  </si>
  <si>
    <t xml:space="preserve">prototipo-2026-09-18.transcripcion.docx</t>
  </si>
  <si>
    <t xml:space="preserve">prototipo-2026-09-22.transcripcion.docx</t>
  </si>
  <si>
    <t xml:space="preserve">prototipo-2026-09-23.transcripcion.docx</t>
  </si>
  <si>
    <t xml:space="preserve">Word</t>
  </si>
  <si>
    <t xml:space="preserve">Nombre de la sección (Word no tiene páginas)</t>
  </si>
  <si>
    <t xml:space="preserve">PowerPoint</t>
  </si>
  <si>
    <t xml:space="preserve">Número de diapositiva</t>
  </si>
  <si>
    <t xml:space="preserve">-</t>
  </si>
  <si>
    <t xml:space="preserve">Dejar vacío: la respuesta no está en los documentos</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</si>
</sst>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4"/>
      <color rgb="FF1A4FA0"/>
      <name val="Arial"/>
      <family val="2"/>
      <charset val="1"/>
    </font>
    <font>
      <b val="true"/>
      <sz val="10"/>
      <name val="Arial"/>
      <family val="2"/>
      <charset val="1"/>
    </font>
    <font>
      <sz val="10"/>
      <name val="Arial"/>
      <family val="2"/>
      <charset val="1"/>
    </font>
    <font>
      <b val="true"/>
      <sz val="11"/>
      <color rgb="FFFFFFFF"/>
      <name val="Arial"/>
      <family val="2"/>
      <charset val="1"/>
    </font>
    <font>
      <i val="true"/>
      <sz val="10"/>
      <color rgb="FF808080"/>
      <name val="Arial"/>
      <family val="2"/>
      <charset val="1"/>
    </font>
    <font>
      <sz val="10"/>
      <name val="Arial"/>
      <family val="2"/>
    </font>
  </fonts>
  <fills count="5">
    <fill>
      <patternFill patternType="none"/>
    </fill>
    <fill>
      <patternFill patternType="gray125"/>
    </fill>
    <fill>
      <patternFill patternType="solid">
        <fgColor rgb="FF1A4FA0"/>
        <bgColor rgb="FF0066CC"/>
      </patternFill>
    </fill>
    <fill>
      <patternFill patternType="solid">
        <fgColor rgb="FFF2F2F2"/>
        <bgColor rgb="FFFFF9DB"/>
      </patternFill>
    </fill>
    <fill>
      <patternFill patternType="solid">
        <fgColor rgb="FFFFF9DB"/>
        <bgColor rgb="FFF2F2F2"/>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9DB"/>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A4FA0"/>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22"/>
    <col collapsed="false" customWidth="true" hidden="false" outlineLevel="0" max="2" min="2" style="0" width="100"/>
  </cols>
  <sheetData>
    <row r="1" customFormat="false" ht="18" hidden="false" customHeight="true" outlineLevel="0" collapsed="false">
      <c r="A1" s="1" t="s">
        <v>0</v>
      </c>
    </row>
    <row r="3" customFormat="false" ht="42" hidden="false" customHeight="true" outlineLevel="0" collapsed="false">
      <c r="A3" s="2" t="s">
        <v>1</v>
      </c>
      <c r="B3" s="3" t="s">
        <v>2</v>
      </c>
    </row>
    <row r="4" customFormat="false" ht="42" hidden="false" customHeight="true" outlineLevel="0" collapsed="false">
      <c r="A4" s="2" t="s">
        <v>3</v>
      </c>
      <c r="B4" s="3" t="s">
        <v>4</v>
      </c>
    </row>
    <row r="5" customFormat="false" ht="42" hidden="false" customHeight="true" outlineLevel="0" collapsed="false">
      <c r="A5" s="2" t="s">
        <v>5</v>
      </c>
      <c r="B5" s="3" t="s">
        <v>6</v>
      </c>
    </row>
    <row r="6" customFormat="false" ht="42" hidden="false" customHeight="true" outlineLevel="0" collapsed="false">
      <c r="A6" s="2" t="s">
        <v>7</v>
      </c>
      <c r="B6" s="3" t="s">
        <v>8</v>
      </c>
    </row>
    <row r="7" customFormat="false" ht="42" hidden="false" customHeight="true" outlineLevel="0" collapsed="false">
      <c r="A7" s="2" t="s">
        <v>9</v>
      </c>
      <c r="B7" s="3" t="s">
        <v>10</v>
      </c>
    </row>
    <row r="8" customFormat="false" ht="42" hidden="false" customHeight="true" outlineLevel="0" collapsed="false">
      <c r="A8" s="2" t="s">
        <v>11</v>
      </c>
      <c r="B8" s="3" t="s">
        <v>12</v>
      </c>
    </row>
    <row r="9" customFormat="false" ht="42" hidden="false" customHeight="true" outlineLevel="0" collapsed="false">
      <c r="A9" s="2" t="s">
        <v>13</v>
      </c>
      <c r="B9" s="3" t="s">
        <v>14</v>
      </c>
    </row>
    <row r="10" customFormat="false" ht="42" hidden="false" customHeight="true" outlineLevel="0" collapsed="false">
      <c r="A10" s="2" t="s">
        <v>15</v>
      </c>
      <c r="B10" s="3" t="s">
        <v>16</v>
      </c>
    </row>
    <row r="11" customFormat="false" ht="42" hidden="false" customHeight="true" outlineLevel="0" collapsed="false">
      <c r="A11" s="2" t="s">
        <v>17</v>
      </c>
      <c r="B11" s="3"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13" activePane="bottomRight" state="frozen"/>
      <selection pane="topLeft" activeCell="A1" activeCellId="0" sqref="A1"/>
      <selection pane="topRight" activeCell="B1" activeCellId="0" sqref="B1"/>
      <selection pane="bottomLeft" activeCell="A13" activeCellId="0" sqref="A13"/>
      <selection pane="bottomRight" activeCell="F22" activeCellId="0" sqref="F22"/>
    </sheetView>
  </sheetViews>
  <sheetFormatPr defaultColWidth="8.71484375" defaultRowHeight="15" zeroHeight="false" outlineLevelRow="0" outlineLevelCol="0"/>
  <cols>
    <col collapsed="false" customWidth="true" hidden="false" outlineLevel="0" max="1" min="1" style="0" width="10"/>
    <col collapsed="false" customWidth="true" hidden="false" outlineLevel="0" max="2" min="2" style="0" width="52"/>
    <col collapsed="false" customWidth="true" hidden="false" outlineLevel="0" max="3" min="3" style="0" width="15"/>
    <col collapsed="false" customWidth="true" hidden="false" outlineLevel="0" max="4" min="4" style="0" width="18"/>
    <col collapsed="false" customWidth="true" hidden="false" outlineLevel="0" max="5" min="5" style="0" width="46"/>
    <col collapsed="false" customWidth="true" hidden="false" outlineLevel="0" max="6" min="6" style="0" width="18"/>
    <col collapsed="false" customWidth="true" hidden="false" outlineLevel="0" max="7" min="7" style="0" width="52"/>
  </cols>
  <sheetData>
    <row r="1" customFormat="false" ht="30" hidden="false" customHeight="true" outlineLevel="0" collapsed="false">
      <c r="A1" s="4" t="s">
        <v>19</v>
      </c>
      <c r="B1" s="4" t="s">
        <v>20</v>
      </c>
      <c r="C1" s="4" t="s">
        <v>7</v>
      </c>
      <c r="D1" s="4" t="s">
        <v>21</v>
      </c>
      <c r="E1" s="4" t="s">
        <v>22</v>
      </c>
      <c r="F1" s="4" t="s">
        <v>11</v>
      </c>
      <c r="G1" s="4" t="s">
        <v>23</v>
      </c>
    </row>
    <row r="2" customFormat="false" ht="25.5" hidden="false" customHeight="true" outlineLevel="0" collapsed="false">
      <c r="A2" s="5" t="s">
        <v>24</v>
      </c>
      <c r="B2" s="5" t="s">
        <v>25</v>
      </c>
      <c r="C2" s="5" t="s">
        <v>26</v>
      </c>
      <c r="D2" s="5" t="s">
        <v>27</v>
      </c>
      <c r="E2" s="5" t="s">
        <v>28</v>
      </c>
      <c r="F2" s="5" t="s">
        <v>29</v>
      </c>
      <c r="G2" s="5" t="s">
        <v>30</v>
      </c>
    </row>
    <row r="3" customFormat="false" ht="89.25" hidden="false" customHeight="true" outlineLevel="0" collapsed="false">
      <c r="A3" s="6" t="s">
        <v>31</v>
      </c>
      <c r="B3" s="7" t="s">
        <v>32</v>
      </c>
      <c r="C3" s="7" t="s">
        <v>26</v>
      </c>
      <c r="D3" s="7" t="s">
        <v>27</v>
      </c>
      <c r="E3" s="7" t="s">
        <v>28</v>
      </c>
      <c r="F3" s="7" t="n">
        <v>9</v>
      </c>
      <c r="G3" s="7" t="s">
        <v>33</v>
      </c>
    </row>
    <row r="4" customFormat="false" ht="51" hidden="false" customHeight="true" outlineLevel="0" collapsed="false">
      <c r="A4" s="6" t="s">
        <v>34</v>
      </c>
      <c r="B4" s="7" t="s">
        <v>35</v>
      </c>
      <c r="C4" s="7" t="s">
        <v>36</v>
      </c>
      <c r="D4" s="7" t="s">
        <v>27</v>
      </c>
      <c r="E4" s="7" t="s">
        <v>28</v>
      </c>
      <c r="F4" s="7" t="n">
        <v>10</v>
      </c>
      <c r="G4" s="7" t="s">
        <v>37</v>
      </c>
    </row>
    <row r="5" customFormat="false" ht="51" hidden="false" customHeight="true" outlineLevel="0" collapsed="false">
      <c r="A5" s="6" t="s">
        <v>38</v>
      </c>
      <c r="B5" s="7" t="s">
        <v>39</v>
      </c>
      <c r="C5" s="7" t="s">
        <v>26</v>
      </c>
      <c r="D5" s="7" t="s">
        <v>27</v>
      </c>
      <c r="E5" s="7" t="s">
        <v>28</v>
      </c>
      <c r="F5" s="7" t="n">
        <v>12</v>
      </c>
      <c r="G5" s="7" t="s">
        <v>40</v>
      </c>
    </row>
    <row r="6" customFormat="false" ht="63.75" hidden="false" customHeight="true" outlineLevel="0" collapsed="false">
      <c r="A6" s="6" t="s">
        <v>41</v>
      </c>
      <c r="B6" s="7" t="s">
        <v>42</v>
      </c>
      <c r="C6" s="7" t="s">
        <v>26</v>
      </c>
      <c r="D6" s="7" t="s">
        <v>43</v>
      </c>
      <c r="E6" s="7" t="s">
        <v>44</v>
      </c>
      <c r="F6" s="7" t="n">
        <v>11</v>
      </c>
      <c r="G6" s="7" t="s">
        <v>45</v>
      </c>
    </row>
    <row r="7" customFormat="false" ht="38.25" hidden="false" customHeight="true" outlineLevel="0" collapsed="false">
      <c r="A7" s="6" t="s">
        <v>46</v>
      </c>
      <c r="B7" s="7" t="s">
        <v>47</v>
      </c>
      <c r="C7" s="7" t="s">
        <v>36</v>
      </c>
      <c r="D7" s="7" t="s">
        <v>43</v>
      </c>
      <c r="E7" s="7" t="s">
        <v>44</v>
      </c>
      <c r="F7" s="7" t="n">
        <v>20</v>
      </c>
      <c r="G7" s="7" t="s">
        <v>48</v>
      </c>
    </row>
    <row r="8" customFormat="false" ht="102" hidden="false" customHeight="true" outlineLevel="0" collapsed="false">
      <c r="A8" s="6" t="s">
        <v>49</v>
      </c>
      <c r="B8" s="7" t="s">
        <v>50</v>
      </c>
      <c r="C8" s="7" t="s">
        <v>26</v>
      </c>
      <c r="D8" s="7" t="s">
        <v>43</v>
      </c>
      <c r="E8" s="7" t="s">
        <v>44</v>
      </c>
      <c r="F8" s="7" t="n">
        <v>15</v>
      </c>
      <c r="G8" s="7" t="s">
        <v>51</v>
      </c>
    </row>
    <row r="9" customFormat="false" ht="76.5" hidden="false" customHeight="true" outlineLevel="0" collapsed="false">
      <c r="A9" s="6" t="s">
        <v>52</v>
      </c>
      <c r="B9" s="7" t="s">
        <v>53</v>
      </c>
      <c r="C9" s="7" t="s">
        <v>36</v>
      </c>
      <c r="D9" s="7" t="s">
        <v>54</v>
      </c>
      <c r="E9" s="7" t="s">
        <v>55</v>
      </c>
      <c r="F9" s="7" t="n">
        <v>18</v>
      </c>
      <c r="G9" s="7" t="s">
        <v>56</v>
      </c>
    </row>
    <row r="10" customFormat="false" ht="63.75" hidden="false" customHeight="true" outlineLevel="0" collapsed="false">
      <c r="A10" s="6" t="s">
        <v>57</v>
      </c>
      <c r="B10" s="7" t="s">
        <v>58</v>
      </c>
      <c r="C10" s="7" t="s">
        <v>26</v>
      </c>
      <c r="D10" s="7" t="s">
        <v>54</v>
      </c>
      <c r="E10" s="7" t="s">
        <v>55</v>
      </c>
      <c r="F10" s="7" t="n">
        <v>12</v>
      </c>
      <c r="G10" s="7" t="s">
        <v>59</v>
      </c>
    </row>
    <row r="11" customFormat="false" ht="38.25" hidden="false" customHeight="true" outlineLevel="0" collapsed="false">
      <c r="A11" s="6" t="s">
        <v>60</v>
      </c>
      <c r="B11" s="7" t="s">
        <v>61</v>
      </c>
      <c r="C11" s="7" t="s">
        <v>36</v>
      </c>
      <c r="D11" s="7" t="s">
        <v>54</v>
      </c>
      <c r="E11" s="7" t="s">
        <v>55</v>
      </c>
      <c r="F11" s="7" t="n">
        <v>18</v>
      </c>
      <c r="G11" s="7" t="s">
        <v>62</v>
      </c>
    </row>
    <row r="12" customFormat="false" ht="76.5" hidden="false" customHeight="true" outlineLevel="0" collapsed="false">
      <c r="A12" s="6" t="s">
        <v>63</v>
      </c>
      <c r="B12" s="7" t="s">
        <v>64</v>
      </c>
      <c r="C12" s="7" t="s">
        <v>26</v>
      </c>
      <c r="D12" s="7" t="s">
        <v>65</v>
      </c>
      <c r="E12" s="7" t="s">
        <v>66</v>
      </c>
      <c r="F12" s="7" t="n">
        <v>21</v>
      </c>
      <c r="G12" s="7" t="s">
        <v>67</v>
      </c>
    </row>
    <row r="13" customFormat="false" ht="51" hidden="false" customHeight="true" outlineLevel="0" collapsed="false">
      <c r="A13" s="6" t="s">
        <v>68</v>
      </c>
      <c r="B13" s="7" t="s">
        <v>69</v>
      </c>
      <c r="C13" s="7" t="s">
        <v>36</v>
      </c>
      <c r="D13" s="7" t="s">
        <v>65</v>
      </c>
      <c r="E13" s="7" t="s">
        <v>66</v>
      </c>
      <c r="F13" s="7" t="n">
        <v>19</v>
      </c>
      <c r="G13" s="7" t="s">
        <v>70</v>
      </c>
    </row>
    <row r="14" customFormat="false" ht="63.75" hidden="false" customHeight="true" outlineLevel="0" collapsed="false">
      <c r="A14" s="6" t="s">
        <v>71</v>
      </c>
      <c r="B14" s="7" t="s">
        <v>72</v>
      </c>
      <c r="C14" s="7" t="s">
        <v>73</v>
      </c>
      <c r="D14" s="7" t="s">
        <v>65</v>
      </c>
      <c r="E14" s="7" t="s">
        <v>66</v>
      </c>
      <c r="F14" s="7" t="n">
        <v>15</v>
      </c>
      <c r="G14" s="7" t="s">
        <v>74</v>
      </c>
    </row>
    <row r="15" customFormat="false" ht="63.75" hidden="false" customHeight="true" outlineLevel="0" collapsed="false">
      <c r="A15" s="6" t="s">
        <v>75</v>
      </c>
      <c r="B15" s="7" t="s">
        <v>76</v>
      </c>
      <c r="C15" s="7" t="s">
        <v>77</v>
      </c>
      <c r="D15" s="7" t="s">
        <v>65</v>
      </c>
      <c r="E15" s="7" t="s">
        <v>66</v>
      </c>
      <c r="F15" s="7" t="n">
        <v>6</v>
      </c>
      <c r="G15" s="7" t="s">
        <v>78</v>
      </c>
    </row>
    <row r="16" customFormat="false" ht="51" hidden="false" customHeight="true" outlineLevel="0" collapsed="false">
      <c r="A16" s="6" t="s">
        <v>79</v>
      </c>
      <c r="B16" s="7" t="s">
        <v>80</v>
      </c>
      <c r="C16" s="7" t="s">
        <v>81</v>
      </c>
      <c r="D16" s="7" t="s">
        <v>65</v>
      </c>
      <c r="E16" s="7" t="s">
        <v>66</v>
      </c>
      <c r="F16" s="7" t="s">
        <v>82</v>
      </c>
      <c r="G16" s="7" t="s">
        <v>83</v>
      </c>
    </row>
    <row r="17" customFormat="false" ht="51" hidden="false" customHeight="true" outlineLevel="0" collapsed="false">
      <c r="A17" s="6" t="s">
        <v>84</v>
      </c>
      <c r="B17" s="7" t="s">
        <v>85</v>
      </c>
      <c r="C17" s="7" t="s">
        <v>26</v>
      </c>
      <c r="D17" s="7" t="s">
        <v>86</v>
      </c>
      <c r="E17" s="7" t="s">
        <v>87</v>
      </c>
      <c r="F17" s="7" t="s">
        <v>88</v>
      </c>
      <c r="G17" s="7" t="s">
        <v>89</v>
      </c>
    </row>
    <row r="18" customFormat="false" ht="51" hidden="false" customHeight="true" outlineLevel="0" collapsed="false">
      <c r="A18" s="6" t="s">
        <v>90</v>
      </c>
      <c r="B18" s="7" t="s">
        <v>91</v>
      </c>
      <c r="C18" s="7" t="s">
        <v>26</v>
      </c>
      <c r="D18" s="7" t="s">
        <v>86</v>
      </c>
      <c r="E18" s="7" t="s">
        <v>87</v>
      </c>
      <c r="F18" s="7" t="s">
        <v>92</v>
      </c>
      <c r="G18" s="7" t="s">
        <v>93</v>
      </c>
    </row>
    <row r="19" customFormat="false" ht="51" hidden="false" customHeight="true" outlineLevel="0" collapsed="false">
      <c r="A19" s="6" t="s">
        <v>94</v>
      </c>
      <c r="B19" s="7" t="s">
        <v>95</v>
      </c>
      <c r="C19" s="7" t="s">
        <v>26</v>
      </c>
      <c r="D19" s="7" t="s">
        <v>96</v>
      </c>
      <c r="E19" s="7" t="s">
        <v>97</v>
      </c>
      <c r="F19" s="7" t="s">
        <v>98</v>
      </c>
      <c r="G19" s="7" t="s">
        <v>99</v>
      </c>
    </row>
    <row r="20" customFormat="false" ht="51" hidden="false" customHeight="true" outlineLevel="0" collapsed="false">
      <c r="A20" s="6" t="s">
        <v>100</v>
      </c>
      <c r="B20" s="7" t="s">
        <v>101</v>
      </c>
      <c r="C20" s="7" t="s">
        <v>36</v>
      </c>
      <c r="D20" s="7" t="s">
        <v>86</v>
      </c>
      <c r="E20" s="7" t="s">
        <v>87</v>
      </c>
      <c r="F20" s="7" t="s">
        <v>102</v>
      </c>
      <c r="G20" s="7" t="s">
        <v>103</v>
      </c>
    </row>
    <row r="21" customFormat="false" ht="51" hidden="false" customHeight="true" outlineLevel="0" collapsed="false">
      <c r="A21" s="6" t="s">
        <v>104</v>
      </c>
      <c r="B21" s="7" t="s">
        <v>105</v>
      </c>
      <c r="C21" s="7" t="s">
        <v>26</v>
      </c>
      <c r="D21" s="7" t="s">
        <v>96</v>
      </c>
      <c r="E21" s="7" t="s">
        <v>97</v>
      </c>
      <c r="F21" s="7" t="s">
        <v>106</v>
      </c>
      <c r="G21" s="7" t="s">
        <v>107</v>
      </c>
    </row>
    <row r="22" customFormat="false" ht="38.25" hidden="false" customHeight="true" outlineLevel="0" collapsed="false">
      <c r="A22" s="6" t="s">
        <v>108</v>
      </c>
      <c r="B22" s="7" t="s">
        <v>109</v>
      </c>
      <c r="C22" s="7" t="s">
        <v>73</v>
      </c>
      <c r="D22" s="7" t="s">
        <v>110</v>
      </c>
      <c r="E22" s="7" t="s">
        <v>111</v>
      </c>
      <c r="F22" s="7" t="n">
        <v>8</v>
      </c>
      <c r="G22" s="7" t="s">
        <v>112</v>
      </c>
    </row>
    <row r="23" customFormat="false" ht="63.75" hidden="false" customHeight="true" outlineLevel="0" collapsed="false">
      <c r="A23" s="6" t="s">
        <v>113</v>
      </c>
      <c r="B23" s="7" t="s">
        <v>114</v>
      </c>
      <c r="C23" s="7" t="s">
        <v>26</v>
      </c>
      <c r="D23" s="7" t="s">
        <v>110</v>
      </c>
      <c r="E23" s="7" t="s">
        <v>111</v>
      </c>
      <c r="F23" s="7" t="n">
        <v>9</v>
      </c>
      <c r="G23" s="7" t="s">
        <v>115</v>
      </c>
    </row>
    <row r="24" customFormat="false" ht="63.75" hidden="false" customHeight="true" outlineLevel="0" collapsed="false">
      <c r="A24" s="6" t="s">
        <v>116</v>
      </c>
      <c r="B24" s="7" t="s">
        <v>117</v>
      </c>
      <c r="C24" s="7" t="s">
        <v>81</v>
      </c>
      <c r="D24" s="7" t="s">
        <v>118</v>
      </c>
      <c r="E24" s="7" t="s">
        <v>118</v>
      </c>
      <c r="F24" s="7" t="s">
        <v>82</v>
      </c>
      <c r="G24" s="7" t="s">
        <v>119</v>
      </c>
    </row>
    <row r="25" customFormat="false" ht="51" hidden="false" customHeight="true" outlineLevel="0" collapsed="false">
      <c r="A25" s="6" t="s">
        <v>120</v>
      </c>
      <c r="B25" s="7" t="s">
        <v>121</v>
      </c>
      <c r="C25" s="7" t="s">
        <v>81</v>
      </c>
      <c r="D25" s="7" t="s">
        <v>118</v>
      </c>
      <c r="E25" s="7" t="s">
        <v>118</v>
      </c>
      <c r="F25" s="7" t="s">
        <v>82</v>
      </c>
      <c r="G25" s="7" t="s">
        <v>122</v>
      </c>
    </row>
    <row r="26" customFormat="false" ht="63.75" hidden="false" customHeight="true" outlineLevel="0" collapsed="false">
      <c r="A26" s="6" t="s">
        <v>123</v>
      </c>
      <c r="B26" s="7" t="s">
        <v>124</v>
      </c>
      <c r="C26" s="7" t="s">
        <v>81</v>
      </c>
      <c r="D26" s="7" t="s">
        <v>118</v>
      </c>
      <c r="E26" s="7" t="s">
        <v>118</v>
      </c>
      <c r="F26" s="7" t="s">
        <v>82</v>
      </c>
      <c r="G26" s="7" t="s">
        <v>125</v>
      </c>
    </row>
    <row r="27" customFormat="false" ht="51" hidden="false" customHeight="true" outlineLevel="0" collapsed="false">
      <c r="A27" s="6" t="s">
        <v>126</v>
      </c>
      <c r="B27" s="7" t="s">
        <v>127</v>
      </c>
      <c r="C27" s="7" t="s">
        <v>81</v>
      </c>
      <c r="D27" s="7" t="s">
        <v>118</v>
      </c>
      <c r="E27" s="7" t="s">
        <v>118</v>
      </c>
      <c r="F27" s="7" t="s">
        <v>82</v>
      </c>
      <c r="G27" s="7" t="s">
        <v>128</v>
      </c>
    </row>
  </sheetData>
  <dataValidations count="3">
    <dataValidation allowBlank="true" errorStyle="stop" operator="between" showDropDown="false" showErrorMessage="false" showInputMessage="false" sqref="C3:C27" type="list">
      <formula1>Documentos!$H$2:$H$6</formula1>
      <formula2>0</formula2>
    </dataValidation>
    <dataValidation allowBlank="true" errorStyle="stop" operator="between" showDropDown="false" showErrorMessage="false" showInputMessage="false" sqref="D3:D27" type="list">
      <formula1>Documentos!$F$2:$F$9</formula1>
      <formula2>0</formula2>
    </dataValidation>
    <dataValidation allowBlank="true" errorStyle="stop" operator="between" showDropDown="false" showErrorMessage="false" showInputMessage="false" sqref="E3:E27" type="list">
      <formula1>Documentos!$B$2:$B$14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22"/>
    <col collapsed="false" customWidth="true" hidden="false" outlineLevel="0" max="4" min="2" style="0" width="12"/>
    <col collapsed="false" customWidth="true" hidden="false" outlineLevel="0" max="6" min="6" style="0" width="50"/>
  </cols>
  <sheetData>
    <row r="1" customFormat="false" ht="18" hidden="false" customHeight="true" outlineLevel="0" collapsed="false">
      <c r="A1" s="1" t="s">
        <v>129</v>
      </c>
    </row>
    <row r="3" customFormat="false" ht="38.25" hidden="false" customHeight="true" outlineLevel="0" collapsed="false">
      <c r="A3" s="8" t="s">
        <v>21</v>
      </c>
      <c r="B3" s="8" t="s">
        <v>130</v>
      </c>
      <c r="C3" s="8" t="s">
        <v>131</v>
      </c>
      <c r="D3" s="8" t="s">
        <v>132</v>
      </c>
      <c r="F3" s="9" t="s">
        <v>133</v>
      </c>
    </row>
    <row r="4" customFormat="false" ht="15" hidden="false" customHeight="false" outlineLevel="0" collapsed="false">
      <c r="A4" s="10" t="s">
        <v>27</v>
      </c>
      <c r="B4" s="10" t="n">
        <v>3</v>
      </c>
      <c r="C4" s="10" t="n">
        <f aca="false">COUNTIF(Preguntas!$D$3:$D$27,A4)</f>
        <v>3</v>
      </c>
      <c r="D4" s="10" t="n">
        <f aca="false">MAX(B4-C4,0)</f>
        <v>0</v>
      </c>
    </row>
    <row r="5" customFormat="false" ht="15" hidden="false" customHeight="false" outlineLevel="0" collapsed="false">
      <c r="A5" s="10" t="s">
        <v>43</v>
      </c>
      <c r="B5" s="10" t="n">
        <v>3</v>
      </c>
      <c r="C5" s="10" t="n">
        <f aca="false">COUNTIF(Preguntas!$D$3:$D$27,A5)</f>
        <v>3</v>
      </c>
      <c r="D5" s="10" t="n">
        <f aca="false">MAX(B5-C5,0)</f>
        <v>0</v>
      </c>
    </row>
    <row r="6" customFormat="false" ht="15" hidden="false" customHeight="false" outlineLevel="0" collapsed="false">
      <c r="A6" s="10" t="s">
        <v>54</v>
      </c>
      <c r="B6" s="10" t="n">
        <v>3</v>
      </c>
      <c r="C6" s="10" t="n">
        <f aca="false">COUNTIF(Preguntas!$D$3:$D$27,A6)</f>
        <v>3</v>
      </c>
      <c r="D6" s="10" t="n">
        <f aca="false">MAX(B6-C6,0)</f>
        <v>0</v>
      </c>
    </row>
    <row r="7" customFormat="false" ht="15" hidden="false" customHeight="false" outlineLevel="0" collapsed="false">
      <c r="A7" s="10" t="s">
        <v>65</v>
      </c>
      <c r="B7" s="10" t="n">
        <v>5</v>
      </c>
      <c r="C7" s="10" t="n">
        <f aca="false">COUNTIF(Preguntas!$D$3:$D$27,A7)</f>
        <v>5</v>
      </c>
      <c r="D7" s="10" t="n">
        <f aca="false">MAX(B7-C7,0)</f>
        <v>0</v>
      </c>
    </row>
    <row r="8" customFormat="false" ht="15" hidden="false" customHeight="false" outlineLevel="0" collapsed="false">
      <c r="A8" s="10" t="s">
        <v>86</v>
      </c>
      <c r="B8" s="10" t="n">
        <v>2</v>
      </c>
      <c r="C8" s="10" t="n">
        <f aca="false">COUNTIF(Preguntas!$D$3:$D$27,A8)</f>
        <v>3</v>
      </c>
      <c r="D8" s="10" t="n">
        <f aca="false">MAX(B8-C8,0)</f>
        <v>0</v>
      </c>
    </row>
    <row r="9" customFormat="false" ht="15" hidden="false" customHeight="false" outlineLevel="0" collapsed="false">
      <c r="A9" s="10" t="s">
        <v>96</v>
      </c>
      <c r="B9" s="10" t="n">
        <v>3</v>
      </c>
      <c r="C9" s="10" t="n">
        <f aca="false">COUNTIF(Preguntas!$D$3:$D$27,A9)</f>
        <v>2</v>
      </c>
      <c r="D9" s="10" t="n">
        <f aca="false">MAX(B9-C9,0)</f>
        <v>1</v>
      </c>
    </row>
    <row r="10" customFormat="false" ht="15" hidden="false" customHeight="false" outlineLevel="0" collapsed="false">
      <c r="A10" s="10" t="s">
        <v>110</v>
      </c>
      <c r="B10" s="10" t="n">
        <v>2</v>
      </c>
      <c r="C10" s="10" t="n">
        <f aca="false">COUNTIF(Preguntas!$D$3:$D$27,A10)</f>
        <v>2</v>
      </c>
      <c r="D10" s="10" t="n">
        <f aca="false">MAX(B10-C10,0)</f>
        <v>0</v>
      </c>
    </row>
    <row r="11" customFormat="false" ht="15" hidden="false" customHeight="false" outlineLevel="0" collapsed="false">
      <c r="A11" s="10" t="s">
        <v>118</v>
      </c>
      <c r="B11" s="10" t="n">
        <v>4</v>
      </c>
      <c r="C11" s="10" t="n">
        <f aca="false">COUNTIF(Preguntas!$D$3:$D$27,A11)</f>
        <v>4</v>
      </c>
      <c r="D11" s="10" t="n">
        <f aca="false">MAX(B11-C11,0)</f>
        <v>0</v>
      </c>
    </row>
    <row r="12" customFormat="false" ht="15" hidden="false" customHeight="false" outlineLevel="0" collapsed="false">
      <c r="A12" s="2" t="s">
        <v>134</v>
      </c>
      <c r="B12" s="2" t="n">
        <f aca="false">SUM(B4:B11)</f>
        <v>25</v>
      </c>
      <c r="C12" s="2" t="n">
        <f aca="false">SUM(C4:C11)</f>
        <v>25</v>
      </c>
      <c r="D12" s="2" t="n">
        <f aca="false">SUM(D4:D11)</f>
        <v>1</v>
      </c>
    </row>
    <row r="14" customFormat="false" ht="15" hidden="false" customHeight="false" outlineLevel="0" collapsed="false">
      <c r="A14" s="8" t="s">
        <v>7</v>
      </c>
      <c r="B14" s="8" t="s">
        <v>131</v>
      </c>
    </row>
    <row r="15" customFormat="false" ht="15" hidden="false" customHeight="false" outlineLevel="0" collapsed="false">
      <c r="A15" s="10" t="s">
        <v>26</v>
      </c>
      <c r="B15" s="10" t="n">
        <f aca="false">COUNTIF(Preguntas!$C$3:$C$27,A15)</f>
        <v>11</v>
      </c>
    </row>
    <row r="16" customFormat="false" ht="15" hidden="false" customHeight="false" outlineLevel="0" collapsed="false">
      <c r="A16" s="10" t="s">
        <v>36</v>
      </c>
      <c r="B16" s="10" t="n">
        <f aca="false">COUNTIF(Preguntas!$C$3:$C$27,A16)</f>
        <v>6</v>
      </c>
    </row>
    <row r="17" customFormat="false" ht="15" hidden="false" customHeight="false" outlineLevel="0" collapsed="false">
      <c r="A17" s="10" t="s">
        <v>73</v>
      </c>
      <c r="B17" s="10" t="n">
        <f aca="false">COUNTIF(Preguntas!$C$3:$C$27,A17)</f>
        <v>2</v>
      </c>
    </row>
    <row r="18" customFormat="false" ht="15" hidden="false" customHeight="false" outlineLevel="0" collapsed="false">
      <c r="A18" s="10" t="s">
        <v>77</v>
      </c>
      <c r="B18" s="10" t="n">
        <f aca="false">COUNTIF(Preguntas!$C$3:$C$27,A18)</f>
        <v>1</v>
      </c>
    </row>
    <row r="19" customFormat="false" ht="15" hidden="false" customHeight="false" outlineLevel="0" collapsed="false">
      <c r="A19" s="10" t="s">
        <v>81</v>
      </c>
      <c r="B19" s="10" t="n">
        <f aca="false">COUNTIF(Preguntas!$C$3:$C$27,A19)</f>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20"/>
    <col collapsed="false" customWidth="true" hidden="false" outlineLevel="0" max="2" min="2" style="0" width="52"/>
    <col collapsed="false" customWidth="true" hidden="false" outlineLevel="0" max="3" min="3" style="0" width="16"/>
    <col collapsed="false" customWidth="true" hidden="false" outlineLevel="0" max="4" min="4" style="0" width="46"/>
    <col collapsed="false" customWidth="true" hidden="false" outlineLevel="0" max="6" min="6" style="0" width="20"/>
    <col collapsed="false" customWidth="true" hidden="false" outlineLevel="0" max="8" min="8" style="0" width="16"/>
  </cols>
  <sheetData>
    <row r="1" customFormat="false" ht="15" hidden="false" customHeight="false" outlineLevel="0" collapsed="false">
      <c r="A1" s="8" t="s">
        <v>21</v>
      </c>
      <c r="B1" s="8" t="s">
        <v>135</v>
      </c>
      <c r="C1" s="8" t="s">
        <v>136</v>
      </c>
      <c r="D1" s="8" t="s">
        <v>137</v>
      </c>
      <c r="F1" s="8" t="s">
        <v>138</v>
      </c>
      <c r="H1" s="8" t="s">
        <v>139</v>
      </c>
    </row>
    <row r="2" customFormat="false" ht="15" hidden="false" customHeight="false" outlineLevel="0" collapsed="false">
      <c r="A2" s="10" t="s">
        <v>27</v>
      </c>
      <c r="B2" s="10" t="s">
        <v>28</v>
      </c>
      <c r="C2" s="10" t="s">
        <v>140</v>
      </c>
      <c r="D2" s="10" t="s">
        <v>141</v>
      </c>
      <c r="E2" s="10"/>
      <c r="F2" s="10" t="s">
        <v>27</v>
      </c>
      <c r="G2" s="10"/>
      <c r="H2" s="10" t="s">
        <v>26</v>
      </c>
    </row>
    <row r="3" customFormat="false" ht="15" hidden="false" customHeight="false" outlineLevel="0" collapsed="false">
      <c r="A3" s="10" t="s">
        <v>43</v>
      </c>
      <c r="B3" s="10" t="s">
        <v>44</v>
      </c>
      <c r="C3" s="10" t="s">
        <v>140</v>
      </c>
      <c r="D3" s="10" t="s">
        <v>141</v>
      </c>
      <c r="E3" s="10"/>
      <c r="F3" s="10" t="s">
        <v>43</v>
      </c>
      <c r="G3" s="10"/>
      <c r="H3" s="10" t="s">
        <v>36</v>
      </c>
    </row>
    <row r="4" customFormat="false" ht="15" hidden="false" customHeight="false" outlineLevel="0" collapsed="false">
      <c r="A4" s="10" t="s">
        <v>54</v>
      </c>
      <c r="B4" s="10" t="s">
        <v>55</v>
      </c>
      <c r="C4" s="10" t="s">
        <v>140</v>
      </c>
      <c r="D4" s="10" t="s">
        <v>141</v>
      </c>
      <c r="E4" s="10"/>
      <c r="F4" s="10" t="s">
        <v>54</v>
      </c>
      <c r="G4" s="10"/>
      <c r="H4" s="10" t="s">
        <v>73</v>
      </c>
    </row>
    <row r="5" customFormat="false" ht="15" hidden="false" customHeight="false" outlineLevel="0" collapsed="false">
      <c r="A5" s="10" t="s">
        <v>65</v>
      </c>
      <c r="B5" s="10" t="s">
        <v>66</v>
      </c>
      <c r="C5" s="10" t="s">
        <v>140</v>
      </c>
      <c r="D5" s="10" t="s">
        <v>141</v>
      </c>
      <c r="E5" s="10"/>
      <c r="F5" s="10" t="s">
        <v>65</v>
      </c>
      <c r="G5" s="10"/>
      <c r="H5" s="10" t="s">
        <v>77</v>
      </c>
    </row>
    <row r="6" customFormat="false" ht="15" hidden="false" customHeight="false" outlineLevel="0" collapsed="false">
      <c r="A6" s="10" t="s">
        <v>65</v>
      </c>
      <c r="B6" s="10" t="s">
        <v>142</v>
      </c>
      <c r="C6" s="10" t="s">
        <v>143</v>
      </c>
      <c r="D6" s="10" t="s">
        <v>144</v>
      </c>
      <c r="E6" s="10"/>
      <c r="F6" s="10" t="s">
        <v>86</v>
      </c>
      <c r="G6" s="10"/>
      <c r="H6" s="10" t="s">
        <v>81</v>
      </c>
    </row>
    <row r="7" customFormat="false" ht="15" hidden="false" customHeight="false" outlineLevel="0" collapsed="false">
      <c r="A7" s="10" t="s">
        <v>65</v>
      </c>
      <c r="B7" s="10" t="s">
        <v>145</v>
      </c>
      <c r="C7" s="10" t="s">
        <v>143</v>
      </c>
      <c r="D7" s="10" t="s">
        <v>144</v>
      </c>
      <c r="E7" s="10"/>
      <c r="F7" s="10" t="s">
        <v>96</v>
      </c>
      <c r="G7" s="10"/>
      <c r="H7" s="10"/>
    </row>
    <row r="8" customFormat="false" ht="15" hidden="false" customHeight="false" outlineLevel="0" collapsed="false">
      <c r="A8" s="10" t="s">
        <v>65</v>
      </c>
      <c r="B8" s="10" t="s">
        <v>146</v>
      </c>
      <c r="C8" s="10" t="s">
        <v>143</v>
      </c>
      <c r="D8" s="10" t="s">
        <v>144</v>
      </c>
      <c r="E8" s="10"/>
      <c r="F8" s="10" t="s">
        <v>110</v>
      </c>
      <c r="G8" s="10"/>
      <c r="H8" s="10"/>
    </row>
    <row r="9" customFormat="false" ht="15" hidden="false" customHeight="false" outlineLevel="0" collapsed="false">
      <c r="A9" s="10" t="s">
        <v>65</v>
      </c>
      <c r="B9" s="10" t="s">
        <v>147</v>
      </c>
      <c r="C9" s="10" t="s">
        <v>143</v>
      </c>
      <c r="D9" s="10" t="s">
        <v>144</v>
      </c>
      <c r="E9" s="10"/>
      <c r="F9" s="10" t="s">
        <v>118</v>
      </c>
      <c r="G9" s="10"/>
      <c r="H9" s="10"/>
    </row>
    <row r="10" customFormat="false" ht="15" hidden="false" customHeight="false" outlineLevel="0" collapsed="false">
      <c r="A10" s="10" t="s">
        <v>65</v>
      </c>
      <c r="B10" s="10" t="s">
        <v>148</v>
      </c>
      <c r="C10" s="10" t="s">
        <v>143</v>
      </c>
      <c r="D10" s="10" t="s">
        <v>144</v>
      </c>
      <c r="E10" s="10"/>
      <c r="F10" s="10"/>
      <c r="G10" s="10"/>
      <c r="H10" s="10"/>
    </row>
    <row r="11" customFormat="false" ht="15" hidden="false" customHeight="false" outlineLevel="0" collapsed="false">
      <c r="A11" s="10" t="s">
        <v>86</v>
      </c>
      <c r="B11" s="10" t="s">
        <v>87</v>
      </c>
      <c r="C11" s="10" t="s">
        <v>149</v>
      </c>
      <c r="D11" s="10" t="s">
        <v>150</v>
      </c>
      <c r="E11" s="10"/>
      <c r="F11" s="10"/>
      <c r="G11" s="10"/>
      <c r="H11" s="10"/>
    </row>
    <row r="12" customFormat="false" ht="15" hidden="false" customHeight="false" outlineLevel="0" collapsed="false">
      <c r="A12" s="10" t="s">
        <v>96</v>
      </c>
      <c r="B12" s="10" t="s">
        <v>97</v>
      </c>
      <c r="C12" s="10" t="s">
        <v>149</v>
      </c>
      <c r="D12" s="10" t="s">
        <v>150</v>
      </c>
      <c r="E12" s="10"/>
      <c r="F12" s="10"/>
      <c r="G12" s="10"/>
      <c r="H12" s="10"/>
    </row>
    <row r="13" customFormat="false" ht="15" hidden="false" customHeight="false" outlineLevel="0" collapsed="false">
      <c r="A13" s="10" t="s">
        <v>110</v>
      </c>
      <c r="B13" s="10" t="s">
        <v>111</v>
      </c>
      <c r="C13" s="10" t="s">
        <v>151</v>
      </c>
      <c r="D13" s="10" t="s">
        <v>152</v>
      </c>
      <c r="E13" s="10"/>
      <c r="F13" s="10"/>
      <c r="G13" s="10"/>
      <c r="H13" s="10"/>
    </row>
    <row r="14" customFormat="false" ht="15" hidden="false" customHeight="false" outlineLevel="0" collapsed="false">
      <c r="A14" s="10" t="s">
        <v>118</v>
      </c>
      <c r="B14" s="10" t="s">
        <v>118</v>
      </c>
      <c r="C14" s="10" t="s">
        <v>153</v>
      </c>
      <c r="D14" s="10" t="s">
        <v>154</v>
      </c>
      <c r="E14" s="10"/>
      <c r="F14" s="10"/>
      <c r="G14" s="10"/>
      <c r="H14" s="1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2026-10-03T18:12:17Z</dcterms:created>
  <dc:creator>openpyxl</dc:creator>
  <dc:description/>
  <dc:language>en-US</dc:language>
  <cp:lastModifiedBy>Héctor Abraham Covarrubias Martínez</cp:lastModifiedBy>
  <dcterms:modified xsi:type="dcterms:W3CDTF">2026-10-03T19:16:47Z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